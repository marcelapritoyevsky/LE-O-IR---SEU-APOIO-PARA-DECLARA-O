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18135" windowHeight="4635" activeTab="2"/>
  </bookViews>
  <sheets>
    <sheet name="TITULAR" sheetId="1" r:id="rId1"/>
    <sheet name="INFORMES" sheetId="2" r:id="rId2"/>
    <sheet name="NOTAS" sheetId="3" r:id="rId3"/>
    <sheet name="AUXILIAR" sheetId="4" state="hidden" r:id="rId4"/>
  </sheets>
  <definedNames>
    <definedName name="Bancos">AUXILIAR!$A$12:$A$61</definedName>
    <definedName name="ListaCategorias">AUXILIAR!$A$2:$A$9</definedName>
  </definedNames>
  <calcPr calcId="124519"/>
</workbook>
</file>

<file path=xl/calcChain.xml><?xml version="1.0" encoding="utf-8"?>
<calcChain xmlns="http://schemas.openxmlformats.org/spreadsheetml/2006/main">
  <c r="D32" i="3"/>
  <c r="D36" s="1"/>
  <c r="D38" s="1"/>
  <c r="D30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D20" i="2"/>
  <c r="B42" i="3" l="1"/>
  <c r="D42"/>
</calcChain>
</file>

<file path=xl/sharedStrings.xml><?xml version="1.0" encoding="utf-8"?>
<sst xmlns="http://schemas.openxmlformats.org/spreadsheetml/2006/main" count="126" uniqueCount="100">
  <si>
    <t xml:space="preserve">LEÃO IR </t>
  </si>
  <si>
    <t>Seu apoio para declaração</t>
  </si>
  <si>
    <t>DADOS DO TITULAR</t>
  </si>
  <si>
    <t>NOME COMPLETO</t>
  </si>
  <si>
    <t>CPF</t>
  </si>
  <si>
    <t>DATA DE NASCIMENTO</t>
  </si>
  <si>
    <t>NOME DO CÔNJUGE</t>
  </si>
  <si>
    <t>DEPENDENTES</t>
  </si>
  <si>
    <t>INFORMAÇÕES DA DECLARAÇÃO</t>
  </si>
  <si>
    <t>ANO-CALENDÁRIO</t>
  </si>
  <si>
    <t xml:space="preserve">TIPO DE DECLARAÇÃO </t>
  </si>
  <si>
    <t>MODELO DE DECLARAÇÃO</t>
  </si>
  <si>
    <t>SITUAÇÃO DA DECLARAÇÃO</t>
  </si>
  <si>
    <t>PRÉVIA DO IMPOSTO</t>
  </si>
  <si>
    <t>RENDA TRIBUTÁVEL</t>
  </si>
  <si>
    <t>DEDUÇÕES</t>
  </si>
  <si>
    <t>IMPOSTO DEVIDO</t>
  </si>
  <si>
    <t xml:space="preserve">SALDO A PAGAR / RESTITUIÇÃO </t>
  </si>
  <si>
    <t>"VALOR ESTIMADO. NÃO SE TRATA DE CÁLCULO OFICIAL DA RECEITA FEDERAL."</t>
  </si>
  <si>
    <t>LEÃO IR</t>
  </si>
  <si>
    <t>INFORMES DE RENDIMENTOS BANCÁRIOS</t>
  </si>
  <si>
    <t>1º BANCO</t>
  </si>
  <si>
    <t>BANCO</t>
  </si>
  <si>
    <t>ANEXO</t>
  </si>
  <si>
    <t>VALOR ATUAL</t>
  </si>
  <si>
    <t>Anexar informe</t>
  </si>
  <si>
    <t>2º BANCO</t>
  </si>
  <si>
    <t>3º BANCO</t>
  </si>
  <si>
    <t>TOTAL</t>
  </si>
  <si>
    <t>NOTAS</t>
  </si>
  <si>
    <t>DATA</t>
  </si>
  <si>
    <t>CATEGORIA</t>
  </si>
  <si>
    <t>VALOR</t>
  </si>
  <si>
    <t>Salário / Holerite</t>
  </si>
  <si>
    <t>Freelancer / Autônomo</t>
  </si>
  <si>
    <t>Rendimentos isentos / não tributáveis</t>
  </si>
  <si>
    <t>TOTAL DE RENDIMENTOS</t>
  </si>
  <si>
    <t>BASE DE CÁLCULO</t>
  </si>
  <si>
    <t>IR RETIDO NA FONTE</t>
  </si>
  <si>
    <t>CLASSIFICAÇÃO</t>
  </si>
  <si>
    <t>Tributável</t>
  </si>
  <si>
    <t>Pró-labore</t>
  </si>
  <si>
    <t>Aluguel</t>
  </si>
  <si>
    <t>Aposentadoria / Pensão</t>
  </si>
  <si>
    <t>Rendimentos de investimentos</t>
  </si>
  <si>
    <t>Específico</t>
  </si>
  <si>
    <t>Não tributável</t>
  </si>
  <si>
    <t>Outros rendimentos</t>
  </si>
  <si>
    <t>Não classificado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</si>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</sst>
</file>

<file path=xl/styles.xml><?xml version="1.0" encoding="utf-8"?>
<styleSheet xmlns="http://schemas.openxmlformats.org/spreadsheetml/2006/main">
  <numFmts count="1">
    <numFmt numFmtId="164" formatCode="&quot;R$&quot;\ #,##0.00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rgb="FF1F5E3B"/>
      <name val="Arial"/>
      <family val="2"/>
    </font>
    <font>
      <b/>
      <sz val="10"/>
      <color rgb="FF1F5E3B"/>
      <name val="Arial"/>
      <family val="2"/>
    </font>
    <font>
      <sz val="9"/>
      <color rgb="FF1F5E3B"/>
      <name val="Arial"/>
      <family val="2"/>
    </font>
    <font>
      <sz val="24"/>
      <color theme="1"/>
      <name val="Arial"/>
      <family val="2"/>
    </font>
    <font>
      <b/>
      <sz val="11"/>
      <color rgb="FF1F5E3B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8F3EC"/>
        <bgColor indexed="64"/>
      </patternFill>
    </fill>
    <fill>
      <patternFill patternType="solid">
        <fgColor rgb="FFF4F6F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B7D7C2"/>
      </bottom>
      <diagonal/>
    </border>
    <border>
      <left/>
      <right/>
      <top style="thin">
        <color rgb="FFB7D7C2"/>
      </top>
      <bottom style="thin">
        <color rgb="FFB7D7C2"/>
      </bottom>
      <diagonal/>
    </border>
    <border>
      <left/>
      <right/>
      <top style="thin">
        <color rgb="FFB7D7C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>
      <alignment wrapText="1"/>
    </xf>
    <xf numFmtId="0" fontId="0" fillId="0" borderId="0" xfId="0"/>
    <xf numFmtId="0" fontId="4" fillId="4" borderId="0" xfId="0" applyFont="1" applyFill="1" applyAlignment="1">
      <alignment horizontal="left"/>
    </xf>
    <xf numFmtId="0" fontId="4" fillId="4" borderId="0" xfId="0" applyFont="1" applyFill="1"/>
    <xf numFmtId="0" fontId="1" fillId="0" borderId="0" xfId="0" applyFont="1"/>
    <xf numFmtId="0" fontId="7" fillId="2" borderId="0" xfId="0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5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164" fontId="7" fillId="2" borderId="7" xfId="0" applyNumberFormat="1" applyFont="1" applyFill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4" fontId="0" fillId="0" borderId="6" xfId="0" applyNumberFormat="1" applyBorder="1" applyAlignment="1">
      <alignment horizontal="center"/>
    </xf>
    <xf numFmtId="164" fontId="7" fillId="2" borderId="0" xfId="0" applyNumberFormat="1" applyFont="1" applyFill="1" applyAlignment="1">
      <alignment horizontal="center"/>
    </xf>
    <xf numFmtId="0" fontId="8" fillId="0" borderId="6" xfId="0" applyFont="1" applyBorder="1" applyAlignment="1">
      <alignment horizontal="center"/>
    </xf>
    <xf numFmtId="0" fontId="7" fillId="4" borderId="0" xfId="0" applyFont="1" applyFill="1" applyAlignment="1">
      <alignment horizontal="left"/>
    </xf>
    <xf numFmtId="164" fontId="7" fillId="4" borderId="0" xfId="0" applyNumberFormat="1" applyFont="1" applyFill="1" applyAlignment="1">
      <alignment horizontal="center"/>
    </xf>
    <xf numFmtId="14" fontId="8" fillId="0" borderId="6" xfId="0" applyNumberFormat="1" applyFont="1" applyBorder="1"/>
    <xf numFmtId="0" fontId="0" fillId="0" borderId="0" xfId="0" applyAlignment="1">
      <alignment horizontal="center"/>
    </xf>
    <xf numFmtId="0" fontId="8" fillId="0" borderId="0" xfId="0" applyFont="1"/>
    <xf numFmtId="0" fontId="3" fillId="2" borderId="0" xfId="0" applyFont="1" applyFill="1" applyAlignment="1">
      <alignment horizontal="center"/>
    </xf>
    <xf numFmtId="0" fontId="0" fillId="0" borderId="0" xfId="0"/>
    <xf numFmtId="0" fontId="6" fillId="0" borderId="0" xfId="0" applyFont="1" applyAlignment="1">
      <alignment horizontal="center"/>
    </xf>
    <xf numFmtId="0" fontId="0" fillId="3" borderId="8" xfId="0" applyFill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2" fillId="0" borderId="0" xfId="0" applyFont="1" applyAlignment="1">
      <alignment horizontal="center"/>
    </xf>
    <xf numFmtId="0" fontId="0" fillId="3" borderId="8" xfId="0" applyFill="1" applyBorder="1" applyAlignment="1">
      <alignment horizontal="left"/>
    </xf>
    <xf numFmtId="0" fontId="5" fillId="0" borderId="0" xfId="0" applyFont="1" applyAlignment="1">
      <alignment horizontal="left"/>
    </xf>
    <xf numFmtId="0" fontId="4" fillId="2" borderId="8" xfId="0" applyFont="1" applyFill="1" applyBorder="1" applyAlignment="1">
      <alignment horizontal="left"/>
    </xf>
    <xf numFmtId="14" fontId="0" fillId="3" borderId="8" xfId="0" applyNumberForma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0" fillId="0" borderId="3" xfId="0" applyBorder="1"/>
    <xf numFmtId="0" fontId="0" fillId="0" borderId="4" xfId="0" applyBorder="1"/>
    <xf numFmtId="0" fontId="8" fillId="0" borderId="8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8" fillId="0" borderId="8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0" fillId="0" borderId="0" xfId="0" applyAlignment="1">
      <alignment horizontal="center"/>
    </xf>
    <xf numFmtId="164" fontId="9" fillId="0" borderId="8" xfId="0" applyNumberFormat="1" applyFont="1" applyBorder="1" applyAlignment="1">
      <alignment horizontal="center"/>
    </xf>
    <xf numFmtId="164" fontId="8" fillId="0" borderId="8" xfId="0" applyNumberFormat="1" applyFont="1" applyBorder="1" applyAlignment="1">
      <alignment horizontal="right"/>
    </xf>
    <xf numFmtId="0" fontId="9" fillId="0" borderId="8" xfId="0" applyFont="1" applyBorder="1" applyAlignment="1">
      <alignment horizontal="right"/>
    </xf>
    <xf numFmtId="0" fontId="9" fillId="0" borderId="0" xfId="0" applyFont="1" applyAlignment="1">
      <alignment horizontal="center"/>
    </xf>
    <xf numFmtId="0" fontId="7" fillId="2" borderId="0" xfId="0" applyFont="1" applyFill="1" applyAlignment="1">
      <alignment horizontal="left"/>
    </xf>
    <xf numFmtId="0" fontId="7" fillId="2" borderId="7" xfId="0" applyFont="1" applyFill="1" applyBorder="1" applyAlignment="1">
      <alignment horizontal="left"/>
    </xf>
    <xf numFmtId="0" fontId="0" fillId="0" borderId="7" xfId="0" applyBorder="1"/>
    <xf numFmtId="0" fontId="0" fillId="3" borderId="10" xfId="0" applyFill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49" fontId="0" fillId="3" borderId="10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095375" cy="95250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L26"/>
  <sheetViews>
    <sheetView showGridLines="0" workbookViewId="0">
      <selection activeCell="L18" sqref="L18"/>
    </sheetView>
  </sheetViews>
  <sheetFormatPr defaultColWidth="0" defaultRowHeight="15"/>
  <cols>
    <col min="1" max="1" width="9.140625" style="2" customWidth="1"/>
    <col min="2" max="2" width="31.28515625" style="2" bestFit="1" customWidth="1"/>
    <col min="3" max="3" width="12.5703125" style="2" customWidth="1"/>
    <col min="4" max="6" width="9.140625" style="2" customWidth="1"/>
    <col min="7" max="7" width="26.42578125" style="2" bestFit="1" customWidth="1"/>
    <col min="8" max="12" width="9.140625" style="2" customWidth="1"/>
    <col min="13" max="13" width="9.140625" style="2" hidden="1" customWidth="1"/>
    <col min="14" max="16384" width="9.140625" style="2" hidden="1"/>
  </cols>
  <sheetData>
    <row r="2" spans="2:7">
      <c r="B2" s="25" t="s">
        <v>0</v>
      </c>
      <c r="C2" s="24"/>
      <c r="D2" s="24"/>
      <c r="E2" s="24"/>
      <c r="F2" s="24"/>
      <c r="G2" s="24"/>
    </row>
    <row r="3" spans="2:7">
      <c r="B3" s="24"/>
      <c r="C3" s="24"/>
      <c r="D3" s="24"/>
      <c r="E3" s="24"/>
      <c r="F3" s="24"/>
      <c r="G3" s="24"/>
    </row>
    <row r="4" spans="2:7" ht="15.75" customHeight="1">
      <c r="B4" s="29" t="s">
        <v>1</v>
      </c>
      <c r="C4" s="24"/>
      <c r="D4" s="24"/>
      <c r="E4" s="24"/>
      <c r="F4" s="24"/>
      <c r="G4" s="24"/>
    </row>
    <row r="6" spans="2:7" ht="15.75" customHeight="1">
      <c r="B6" s="23" t="s">
        <v>2</v>
      </c>
      <c r="C6" s="24"/>
      <c r="D6" s="24"/>
      <c r="E6" s="24"/>
      <c r="F6" s="24"/>
      <c r="G6" s="24"/>
    </row>
    <row r="7" spans="2:7">
      <c r="B7" s="3" t="s">
        <v>3</v>
      </c>
      <c r="C7" s="50"/>
      <c r="D7" s="53"/>
      <c r="E7" s="53"/>
      <c r="F7" s="53"/>
      <c r="G7" s="54"/>
    </row>
    <row r="8" spans="2:7">
      <c r="B8" s="3" t="s">
        <v>4</v>
      </c>
      <c r="C8" s="55"/>
      <c r="D8" s="51"/>
      <c r="E8" s="51"/>
      <c r="F8" s="51"/>
      <c r="G8" s="52"/>
    </row>
    <row r="9" spans="2:7">
      <c r="B9" s="3" t="s">
        <v>5</v>
      </c>
      <c r="C9" s="33"/>
      <c r="D9" s="27"/>
      <c r="E9" s="27"/>
      <c r="F9" s="27"/>
      <c r="G9" s="28"/>
    </row>
    <row r="10" spans="2:7">
      <c r="B10" s="4" t="s">
        <v>6</v>
      </c>
      <c r="C10" s="26"/>
      <c r="D10" s="27"/>
      <c r="E10" s="27"/>
      <c r="F10" s="27"/>
      <c r="G10" s="28"/>
    </row>
    <row r="11" spans="2:7">
      <c r="B11" s="4" t="s">
        <v>7</v>
      </c>
      <c r="C11" s="26"/>
      <c r="D11" s="27"/>
      <c r="E11" s="27"/>
      <c r="F11" s="27"/>
      <c r="G11" s="28"/>
    </row>
    <row r="14" spans="2:7" ht="15.75" customHeight="1">
      <c r="B14" s="23" t="s">
        <v>8</v>
      </c>
      <c r="C14" s="24"/>
      <c r="D14" s="24"/>
      <c r="E14" s="24"/>
      <c r="F14" s="24"/>
      <c r="G14" s="24"/>
    </row>
    <row r="15" spans="2:7">
      <c r="B15" s="3" t="s">
        <v>9</v>
      </c>
      <c r="C15" s="30"/>
      <c r="D15" s="27"/>
      <c r="E15" s="27"/>
      <c r="F15" s="27"/>
      <c r="G15" s="28"/>
    </row>
    <row r="16" spans="2:7">
      <c r="B16" s="3" t="s">
        <v>10</v>
      </c>
      <c r="C16" s="30"/>
      <c r="D16" s="27"/>
      <c r="E16" s="27"/>
      <c r="F16" s="27"/>
      <c r="G16" s="28"/>
    </row>
    <row r="17" spans="2:7">
      <c r="B17" s="3" t="s">
        <v>11</v>
      </c>
      <c r="C17" s="30"/>
      <c r="D17" s="27"/>
      <c r="E17" s="27"/>
      <c r="F17" s="27"/>
      <c r="G17" s="28"/>
    </row>
    <row r="18" spans="2:7">
      <c r="B18" s="3" t="s">
        <v>12</v>
      </c>
      <c r="C18" s="30"/>
      <c r="D18" s="27"/>
      <c r="E18" s="27"/>
      <c r="F18" s="27"/>
      <c r="G18" s="28"/>
    </row>
    <row r="21" spans="2:7" ht="15.75" customHeight="1">
      <c r="B21" s="23" t="s">
        <v>13</v>
      </c>
      <c r="C21" s="24"/>
      <c r="D21" s="24"/>
      <c r="E21" s="24"/>
      <c r="F21" s="24"/>
      <c r="G21" s="24"/>
    </row>
    <row r="22" spans="2:7">
      <c r="B22" s="3" t="s">
        <v>14</v>
      </c>
      <c r="C22" s="30"/>
      <c r="D22" s="27"/>
      <c r="E22" s="27"/>
      <c r="F22" s="27"/>
      <c r="G22" s="28"/>
    </row>
    <row r="23" spans="2:7">
      <c r="B23" s="3" t="s">
        <v>15</v>
      </c>
      <c r="C23" s="30"/>
      <c r="D23" s="27"/>
      <c r="E23" s="27"/>
      <c r="F23" s="27"/>
      <c r="G23" s="28"/>
    </row>
    <row r="24" spans="2:7">
      <c r="B24" s="3" t="s">
        <v>16</v>
      </c>
      <c r="C24" s="34"/>
      <c r="D24" s="35"/>
      <c r="E24" s="35"/>
      <c r="F24" s="35"/>
      <c r="G24" s="36"/>
    </row>
    <row r="25" spans="2:7">
      <c r="B25" s="32" t="s">
        <v>17</v>
      </c>
      <c r="C25" s="27"/>
      <c r="D25" s="27"/>
      <c r="E25" s="27"/>
      <c r="F25" s="27"/>
      <c r="G25" s="28"/>
    </row>
    <row r="26" spans="2:7">
      <c r="B26" s="31" t="s">
        <v>18</v>
      </c>
      <c r="C26" s="24"/>
      <c r="D26" s="24"/>
      <c r="E26" s="24"/>
      <c r="F26" s="24"/>
      <c r="G26" s="24"/>
    </row>
  </sheetData>
  <mergeCells count="19">
    <mergeCell ref="B26:G26"/>
    <mergeCell ref="C23:G23"/>
    <mergeCell ref="C8:G8"/>
    <mergeCell ref="B25:G25"/>
    <mergeCell ref="C17:G17"/>
    <mergeCell ref="B21:G21"/>
    <mergeCell ref="C18:G18"/>
    <mergeCell ref="C9:G9"/>
    <mergeCell ref="B14:G14"/>
    <mergeCell ref="C24:G24"/>
    <mergeCell ref="C15:G15"/>
    <mergeCell ref="C16:G16"/>
    <mergeCell ref="C22:G22"/>
    <mergeCell ref="B6:G6"/>
    <mergeCell ref="B2:G3"/>
    <mergeCell ref="C11:G11"/>
    <mergeCell ref="B4:G4"/>
    <mergeCell ref="C7:G7"/>
    <mergeCell ref="C10:G10"/>
  </mergeCells>
  <dataValidations count="8">
    <dataValidation type="custom" allowBlank="1" showInputMessage="1" showErrorMessage="1" errorTitle="CPF inválido" error="Digite somente os 11 números do CPF" sqref="C8:G8">
      <formula1>AND(LEN(C8)=11,ISNUMBER(VALUE(C8)))</formula1>
    </dataValidation>
    <dataValidation type="date" operator="greaterThan" allowBlank="1" showInputMessage="1" showErrorMessage="1" errorTitle="Data inválida" error="Digite uma data de nascimento válida." sqref="C9:G9">
      <formula1>1</formula1>
    </dataValidation>
    <dataValidation type="whole" operator="greaterThanOrEqual" allowBlank="1" showInputMessage="1" showErrorMessage="1" errorTitle="Quantidade inválida" error="Insira apenas um número inteiro igual ou maior que zero" promptTitle="Quantidade de dependentes" prompt="Insira a quantidade de dependentes" sqref="C11:G11">
      <formula1>0</formula1>
    </dataValidation>
    <dataValidation allowBlank="1" showInputMessage="1" showErrorMessage="1" promptTitle="Nome do cônjuge" prompt="Informe o nome completo do cônjuge" sqref="C10:G10"/>
    <dataValidation type="whole" allowBlank="1" showInputMessage="1" showErrorMessage="1" errorTitle="Ano inválido" error="Informe um ano válido com 4 dígitos" promptTitle="Ano-calendário" prompt="Informe o ano-calendário da declaração" sqref="C15:G15">
      <formula1>2000</formula1>
      <formula2>2100</formula2>
    </dataValidation>
    <dataValidation type="list" allowBlank="1" showInputMessage="1" showErrorMessage="1" promptTitle="Tipo de declaração" prompt="Selecione o tipo de declaração" sqref="C16:G16">
      <formula1>"Original,Retificadora"</formula1>
    </dataValidation>
    <dataValidation type="list" allowBlank="1" showInputMessage="1" showErrorMessage="1" errorTitle="Opção inválida" error="Selecione uma das opções disponíveis na lista" promptTitle="Modelo de declaração" prompt="Selecione o modelo de declaração" sqref="C17:G17">
      <formula1>"Completa,Simplificada"</formula1>
    </dataValidation>
    <dataValidation type="list" allowBlank="1" showInputMessage="1" showErrorMessage="1" errorTitle="Opção inválida" error="Selecione uma das opções disponíveis na lista" promptTitle="Situação da declaração" prompt="Selecione a situação atual da declaração" sqref="C18:G18">
      <formula1>"Pendente,Em preenchimento,Pronta para revisão,Concluída"</formula1>
    </dataValidation>
  </dataValidations>
  <pageMargins left="0.511811024" right="0.511811024" top="0.78740157499999996" bottom="0.78740157499999996" header="0.31496062000000002" footer="0.31496062000000002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0"/>
  <sheetViews>
    <sheetView showGridLines="0" workbookViewId="0">
      <selection activeCell="J25" sqref="J25"/>
    </sheetView>
  </sheetViews>
  <sheetFormatPr defaultColWidth="0" defaultRowHeight="15"/>
  <cols>
    <col min="1" max="1" width="17.28515625" style="2" customWidth="1"/>
    <col min="2" max="10" width="14" style="2" customWidth="1"/>
    <col min="11" max="11" width="14" style="2" hidden="1" customWidth="1"/>
    <col min="12" max="16384" width="14" style="2" hidden="1"/>
  </cols>
  <sheetData>
    <row r="1" spans="1:7">
      <c r="A1" s="22"/>
    </row>
    <row r="2" spans="1:7">
      <c r="B2" s="25" t="s">
        <v>19</v>
      </c>
      <c r="C2" s="24"/>
      <c r="D2" s="24"/>
      <c r="E2" s="24"/>
      <c r="F2" s="24"/>
      <c r="G2" s="24"/>
    </row>
    <row r="3" spans="1:7">
      <c r="B3" s="24"/>
      <c r="C3" s="24"/>
      <c r="D3" s="24"/>
      <c r="E3" s="24"/>
      <c r="F3" s="24"/>
      <c r="G3" s="24"/>
    </row>
    <row r="4" spans="1:7" ht="15.75" customHeight="1">
      <c r="B4" s="29" t="s">
        <v>1</v>
      </c>
      <c r="C4" s="24"/>
      <c r="D4" s="24"/>
      <c r="E4" s="24"/>
      <c r="F4" s="24"/>
      <c r="G4" s="24"/>
    </row>
    <row r="6" spans="1:7" ht="15.75" customHeight="1">
      <c r="B6" s="23" t="s">
        <v>20</v>
      </c>
      <c r="C6" s="24"/>
      <c r="D6" s="24"/>
      <c r="E6" s="24"/>
      <c r="F6" s="24"/>
      <c r="G6" s="24"/>
    </row>
    <row r="8" spans="1:7" ht="15.75" customHeight="1">
      <c r="B8" s="39" t="s">
        <v>21</v>
      </c>
      <c r="C8" s="24"/>
      <c r="D8" s="42"/>
      <c r="E8" s="24"/>
    </row>
    <row r="9" spans="1:7">
      <c r="B9" s="41" t="s">
        <v>22</v>
      </c>
      <c r="C9" s="24"/>
      <c r="D9" s="40" t="s">
        <v>50</v>
      </c>
      <c r="E9" s="28"/>
      <c r="F9" s="46" t="s">
        <v>23</v>
      </c>
      <c r="G9" s="24"/>
    </row>
    <row r="10" spans="1:7">
      <c r="B10" s="38" t="s">
        <v>24</v>
      </c>
      <c r="C10" s="24"/>
      <c r="D10" s="44">
        <v>1000</v>
      </c>
      <c r="E10" s="28"/>
      <c r="F10" s="37" t="s">
        <v>25</v>
      </c>
      <c r="G10" s="28"/>
    </row>
    <row r="12" spans="1:7" ht="15.75" customHeight="1">
      <c r="B12" s="39" t="s">
        <v>26</v>
      </c>
      <c r="C12" s="24"/>
      <c r="D12" s="42"/>
      <c r="E12" s="24"/>
    </row>
    <row r="13" spans="1:7">
      <c r="B13" s="41" t="s">
        <v>22</v>
      </c>
      <c r="C13" s="24"/>
      <c r="D13" s="40" t="s">
        <v>51</v>
      </c>
      <c r="E13" s="28"/>
      <c r="F13" s="46" t="s">
        <v>23</v>
      </c>
      <c r="G13" s="24"/>
    </row>
    <row r="14" spans="1:7">
      <c r="B14" s="38" t="s">
        <v>24</v>
      </c>
      <c r="C14" s="24"/>
      <c r="D14" s="44">
        <v>2000</v>
      </c>
      <c r="E14" s="28"/>
      <c r="F14" s="37" t="s">
        <v>25</v>
      </c>
      <c r="G14" s="28"/>
    </row>
    <row r="16" spans="1:7" ht="15.75" customHeight="1">
      <c r="B16" s="39" t="s">
        <v>27</v>
      </c>
      <c r="C16" s="24"/>
      <c r="D16" s="42"/>
      <c r="E16" s="24"/>
    </row>
    <row r="17" spans="2:7">
      <c r="B17" s="41" t="s">
        <v>22</v>
      </c>
      <c r="C17" s="24"/>
      <c r="D17" s="40" t="s">
        <v>57</v>
      </c>
      <c r="E17" s="28"/>
      <c r="F17" s="46" t="s">
        <v>23</v>
      </c>
      <c r="G17" s="24"/>
    </row>
    <row r="18" spans="2:7">
      <c r="B18" s="38" t="s">
        <v>24</v>
      </c>
      <c r="C18" s="24"/>
      <c r="D18" s="44">
        <v>500</v>
      </c>
      <c r="E18" s="28"/>
      <c r="F18" s="37" t="s">
        <v>25</v>
      </c>
      <c r="G18" s="28"/>
    </row>
    <row r="20" spans="2:7">
      <c r="B20" s="45" t="s">
        <v>28</v>
      </c>
      <c r="C20" s="28"/>
      <c r="D20" s="43">
        <f>SUM(D10,D14,D18)</f>
        <v>3500</v>
      </c>
      <c r="E20" s="28"/>
    </row>
  </sheetData>
  <mergeCells count="29">
    <mergeCell ref="B8:C8"/>
    <mergeCell ref="D17:E17"/>
    <mergeCell ref="F17:G17"/>
    <mergeCell ref="B6:G6"/>
    <mergeCell ref="D20:E20"/>
    <mergeCell ref="B16:C16"/>
    <mergeCell ref="D10:E10"/>
    <mergeCell ref="B20:C20"/>
    <mergeCell ref="B2:G3"/>
    <mergeCell ref="B10:C10"/>
    <mergeCell ref="B4:G4"/>
    <mergeCell ref="D18:E18"/>
    <mergeCell ref="F13:G13"/>
    <mergeCell ref="B9:C9"/>
    <mergeCell ref="D9:E9"/>
    <mergeCell ref="F9:G9"/>
    <mergeCell ref="D12:E12"/>
    <mergeCell ref="D8:E8"/>
    <mergeCell ref="D14:E14"/>
    <mergeCell ref="F14:G14"/>
    <mergeCell ref="F10:G10"/>
    <mergeCell ref="B18:C18"/>
    <mergeCell ref="B12:C12"/>
    <mergeCell ref="D13:E13"/>
    <mergeCell ref="F18:G18"/>
    <mergeCell ref="B14:C14"/>
    <mergeCell ref="B17:C17"/>
    <mergeCell ref="B13:C13"/>
    <mergeCell ref="D16:E16"/>
  </mergeCells>
  <dataValidations count="1">
    <dataValidation type="list" allowBlank="1" showInputMessage="1" showErrorMessage="1" sqref="D9:E9 D13:E13 D17:E17">
      <formula1>Bancos</formula1>
    </dataValidation>
  </dataValidations>
  <pageMargins left="0.511811024" right="0.511811024" top="0.78740157499999996" bottom="0.78740157499999996" header="0.31496062000000002" footer="0.31496062000000002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2:M42"/>
  <sheetViews>
    <sheetView showGridLines="0" tabSelected="1" zoomScale="110" zoomScaleNormal="110" workbookViewId="0">
      <selection activeCell="K42" sqref="K42"/>
    </sheetView>
  </sheetViews>
  <sheetFormatPr defaultColWidth="0" defaultRowHeight="15"/>
  <cols>
    <col min="1" max="1" width="9.140625" style="2" customWidth="1"/>
    <col min="2" max="2" width="14.42578125" style="21" customWidth="1"/>
    <col min="3" max="3" width="35.7109375" style="21" customWidth="1"/>
    <col min="4" max="4" width="15.7109375" style="2" customWidth="1"/>
    <col min="5" max="5" width="32.85546875" style="2" hidden="1" customWidth="1"/>
    <col min="6" max="6" width="0.5703125" style="2" customWidth="1"/>
    <col min="7" max="7" width="5" style="2" hidden="1" customWidth="1"/>
    <col min="8" max="12" width="9.140625" style="2" customWidth="1"/>
    <col min="13" max="13" width="0" hidden="1" customWidth="1"/>
    <col min="14" max="14" width="9.140625" style="2" hidden="1" customWidth="1"/>
    <col min="15" max="16384" width="9.140625" style="2" hidden="1"/>
  </cols>
  <sheetData>
    <row r="2" spans="2:13">
      <c r="B2" s="25" t="s">
        <v>19</v>
      </c>
      <c r="C2" s="42"/>
      <c r="D2" s="24"/>
      <c r="E2" s="24"/>
      <c r="F2" s="24"/>
      <c r="G2" s="24"/>
    </row>
    <row r="3" spans="2:13">
      <c r="B3" s="42"/>
      <c r="C3" s="42"/>
      <c r="D3" s="24"/>
      <c r="E3" s="24"/>
      <c r="F3" s="24"/>
      <c r="G3" s="24"/>
    </row>
    <row r="4" spans="2:13" ht="15.75" customHeight="1">
      <c r="B4" s="29" t="s">
        <v>1</v>
      </c>
      <c r="C4" s="42"/>
      <c r="D4" s="24"/>
      <c r="E4" s="24"/>
      <c r="F4" s="24"/>
      <c r="G4" s="24"/>
    </row>
    <row r="6" spans="2:13" ht="15.75" customHeight="1">
      <c r="B6" s="23" t="s">
        <v>29</v>
      </c>
      <c r="C6" s="42"/>
      <c r="D6" s="24"/>
      <c r="E6" s="24"/>
      <c r="F6" s="24"/>
      <c r="G6" s="24"/>
    </row>
    <row r="8" spans="2:13">
      <c r="B8" s="6" t="s">
        <v>30</v>
      </c>
      <c r="C8" s="6" t="s">
        <v>31</v>
      </c>
      <c r="D8" s="6" t="s">
        <v>32</v>
      </c>
    </row>
    <row r="9" spans="2:13">
      <c r="B9" s="9">
        <v>45748</v>
      </c>
      <c r="C9" s="8" t="s">
        <v>33</v>
      </c>
      <c r="D9" s="13">
        <v>3000</v>
      </c>
      <c r="E9" t="str">
        <f>VLOOKUP(C9,AUXILIAR!$A$2:$B$9,2,FALSE)</f>
        <v>Tributável</v>
      </c>
    </row>
    <row r="10" spans="2:13">
      <c r="B10" s="15">
        <v>45762</v>
      </c>
      <c r="C10" s="10" t="s">
        <v>34</v>
      </c>
      <c r="D10" s="12">
        <v>500</v>
      </c>
      <c r="E10" t="str">
        <f>IF(C10="","",VLOOKUP(C10,AUXILIAR!$A$2:$B$9,2,FALSE))</f>
        <v>Tributável</v>
      </c>
    </row>
    <row r="11" spans="2:13">
      <c r="B11" s="15">
        <v>45767</v>
      </c>
      <c r="C11" s="10" t="s">
        <v>35</v>
      </c>
      <c r="D11" s="12">
        <v>1000</v>
      </c>
      <c r="E11" t="str">
        <f>IF(C11="","",VLOOKUP(C11,AUXILIAR!$A$2:$B$9,2,FALSE))</f>
        <v>Não tributável</v>
      </c>
    </row>
    <row r="12" spans="2:13">
      <c r="B12" s="15">
        <v>45778</v>
      </c>
      <c r="C12" s="10" t="s">
        <v>33</v>
      </c>
      <c r="D12" s="12">
        <v>1000</v>
      </c>
      <c r="E12" t="str">
        <f>IF(C12="","",VLOOKUP(C12,AUXILIAR!$A$2:$B$9,2,FALSE))</f>
        <v>Tributável</v>
      </c>
    </row>
    <row r="13" spans="2:13">
      <c r="B13" s="15"/>
      <c r="C13" s="10"/>
      <c r="D13" s="12"/>
      <c r="E13" t="str">
        <f>IF(C13="","",VLOOKUP(C13,AUXILIAR!$A$2:$B$9,2,FALSE))</f>
        <v/>
      </c>
      <c r="M13" s="5"/>
    </row>
    <row r="14" spans="2:13">
      <c r="B14" s="15"/>
      <c r="C14" s="10"/>
      <c r="D14" s="12"/>
      <c r="E14" t="str">
        <f>IF(C14="","",VLOOKUP(C14,AUXILIAR!$A$2:$B$9,2,FALSE))</f>
        <v/>
      </c>
      <c r="M14" s="5"/>
    </row>
    <row r="15" spans="2:13">
      <c r="B15" s="15"/>
      <c r="C15" s="10"/>
      <c r="D15" s="12"/>
      <c r="E15" t="str">
        <f>IF(C15="","",VLOOKUP(C15,AUXILIAR!$A$2:$B$9,2,FALSE))</f>
        <v/>
      </c>
      <c r="M15" s="5"/>
    </row>
    <row r="16" spans="2:13">
      <c r="B16" s="15"/>
      <c r="C16" s="17"/>
      <c r="D16" s="12"/>
      <c r="E16" t="str">
        <f>IF(C16="","",VLOOKUP(C16,AUXILIAR!$A$2:$B$9,2,FALSE))</f>
        <v/>
      </c>
    </row>
    <row r="17" spans="2:5">
      <c r="B17" s="15"/>
      <c r="C17" s="10"/>
      <c r="D17" s="12"/>
      <c r="E17" t="str">
        <f>IF(C17="","",VLOOKUP(C17,AUXILIAR!$A$2:$B$9,2,FALSE))</f>
        <v/>
      </c>
    </row>
    <row r="18" spans="2:5">
      <c r="B18" s="15"/>
      <c r="C18" s="10"/>
      <c r="D18" s="12"/>
      <c r="E18" t="str">
        <f>IF(C18="","",VLOOKUP(C18,AUXILIAR!$A$2:$B$9,2,FALSE))</f>
        <v/>
      </c>
    </row>
    <row r="19" spans="2:5">
      <c r="B19" s="15"/>
      <c r="C19" s="10"/>
      <c r="D19" s="12"/>
      <c r="E19" t="str">
        <f>IF(C19="","",VLOOKUP(C19,AUXILIAR!$A$2:$B$9,2,FALSE))</f>
        <v/>
      </c>
    </row>
    <row r="20" spans="2:5">
      <c r="B20" s="9"/>
      <c r="C20" s="8"/>
      <c r="D20" s="13"/>
      <c r="E20" t="str">
        <f>IF(C20="","",VLOOKUP(C20,AUXILIAR!$A$2:$B$9,2,FALSE))</f>
        <v/>
      </c>
    </row>
    <row r="21" spans="2:5">
      <c r="B21" s="9"/>
      <c r="C21" s="8"/>
      <c r="D21" s="13"/>
      <c r="E21" t="str">
        <f>IF(C21="","",VLOOKUP(C21,AUXILIAR!$A$2:$B$9,2,FALSE))</f>
        <v/>
      </c>
    </row>
    <row r="22" spans="2:5">
      <c r="B22" s="15"/>
      <c r="C22" s="10"/>
      <c r="D22" s="12"/>
      <c r="E22" t="str">
        <f>IF(C22="","",VLOOKUP(C22,AUXILIAR!$A$2:$B$9,2,FALSE))</f>
        <v/>
      </c>
    </row>
    <row r="23" spans="2:5">
      <c r="B23" s="20"/>
      <c r="C23" s="10"/>
      <c r="D23" s="12"/>
      <c r="E23" t="str">
        <f>IF(C23="","",VLOOKUP(C23,AUXILIAR!$A$2:$B$9,2,FALSE))</f>
        <v/>
      </c>
    </row>
    <row r="24" spans="2:5">
      <c r="B24" s="15"/>
      <c r="C24" s="10"/>
      <c r="D24" s="12"/>
      <c r="E24" t="str">
        <f>IF(C24="","",VLOOKUP(C24,AUXILIAR!$A$2:$B$9,2,FALSE))</f>
        <v/>
      </c>
    </row>
    <row r="25" spans="2:5">
      <c r="B25" s="15"/>
      <c r="C25" s="10"/>
      <c r="D25" s="12"/>
      <c r="E25" t="str">
        <f>IF(C25="","",VLOOKUP(C25,AUXILIAR!$A$2:$B$9,2,FALSE))</f>
        <v/>
      </c>
    </row>
    <row r="26" spans="2:5">
      <c r="B26" s="15"/>
      <c r="C26" s="10"/>
      <c r="D26" s="12"/>
      <c r="E26" t="str">
        <f>IF(C26="","",VLOOKUP(C26,AUXILIAR!$A$2:$B$9,2,FALSE))</f>
        <v/>
      </c>
    </row>
    <row r="27" spans="2:5">
      <c r="B27" s="15"/>
      <c r="C27" s="10"/>
      <c r="D27" s="12"/>
      <c r="E27" t="str">
        <f>IF(C27="","",VLOOKUP(C27,AUXILIAR!$A$2:$B$9,2,FALSE))</f>
        <v/>
      </c>
    </row>
    <row r="28" spans="2:5">
      <c r="B28" s="9"/>
      <c r="C28" s="8"/>
      <c r="D28" s="13"/>
      <c r="E28" t="str">
        <f>IF(C28="","",VLOOKUP(C28,AUXILIAR!$A$2:$B$9,2,FALSE))</f>
        <v/>
      </c>
    </row>
    <row r="29" spans="2:5">
      <c r="B29" s="7"/>
      <c r="D29" s="14"/>
    </row>
    <row r="30" spans="2:5">
      <c r="B30" s="48" t="s">
        <v>36</v>
      </c>
      <c r="C30" s="49"/>
      <c r="D30" s="11">
        <f>SUM(D9:D28)</f>
        <v>5500</v>
      </c>
    </row>
    <row r="32" spans="2:5">
      <c r="B32" s="47" t="s">
        <v>14</v>
      </c>
      <c r="C32" s="42"/>
      <c r="D32" s="16">
        <f>SUMIF(E9:E28,"Tributável",D9:D28)</f>
        <v>4500</v>
      </c>
    </row>
    <row r="34" spans="2:4">
      <c r="B34" s="47" t="s">
        <v>15</v>
      </c>
      <c r="C34" s="42"/>
      <c r="D34" s="16">
        <v>500</v>
      </c>
    </row>
    <row r="36" spans="2:4">
      <c r="B36" s="47" t="s">
        <v>37</v>
      </c>
      <c r="C36" s="42"/>
      <c r="D36" s="16">
        <f>D32-D34</f>
        <v>4000</v>
      </c>
    </row>
    <row r="38" spans="2:4">
      <c r="B38" s="47" t="s">
        <v>16</v>
      </c>
      <c r="C38" s="42"/>
      <c r="D38" s="16">
        <f>IF(D36&lt;=28467.2,0,IF(D36&lt;=33919.8,D36*7.5%-2135.04,IF(D36&lt;=45012.6,D36*15%-4679.03,IF(D36&lt;=55976.16,D36*22.5%-8054.97,D36*27.5%-10853.78))))</f>
        <v>0</v>
      </c>
    </row>
    <row r="39" spans="2:4">
      <c r="B39" s="18"/>
      <c r="C39" s="18"/>
      <c r="D39" s="19"/>
    </row>
    <row r="40" spans="2:4">
      <c r="B40" s="47" t="s">
        <v>38</v>
      </c>
      <c r="C40" s="42"/>
      <c r="D40" s="16">
        <v>0</v>
      </c>
    </row>
    <row r="42" spans="2:4">
      <c r="B42" s="47" t="str">
        <f>IF(D40&gt;D38,"IMPOSTO A RESTITUIR",IF(D38&gt;D40,"IMPOSTO A PAGAR","SEM IMPOSTO A PAGAR OU RESTITUIR"))</f>
        <v>SEM IMPOSTO A PAGAR OU RESTITUIR</v>
      </c>
      <c r="C42" s="42"/>
      <c r="D42" s="16">
        <f>IF(D40&gt;D38,D40-D38,IF(D38&gt;D40,D38-D40,0))</f>
        <v>0</v>
      </c>
    </row>
  </sheetData>
  <mergeCells count="10">
    <mergeCell ref="B38:C38"/>
    <mergeCell ref="B30:C30"/>
    <mergeCell ref="B2:G3"/>
    <mergeCell ref="B34:C34"/>
    <mergeCell ref="B42:C42"/>
    <mergeCell ref="B4:G4"/>
    <mergeCell ref="B36:C36"/>
    <mergeCell ref="B32:C32"/>
    <mergeCell ref="B40:C40"/>
    <mergeCell ref="B6:G6"/>
  </mergeCells>
  <dataValidations count="9">
    <dataValidation type="date" allowBlank="1" showInputMessage="1" showErrorMessage="1" errorTitle="Data inválida" error="Informe uma data válida" promptTitle="Data do rendimento" prompt="Informe a data em que o rendimento foi recebido" sqref="B9">
      <formula1>36526</formula1>
      <formula2>73415</formula2>
    </dataValidation>
    <dataValidation type="list" allowBlank="1" showInputMessage="1" showErrorMessage="1" errorTitle="Categoria inválida" error="Selecione uma das opções disponíveis na lista" promptTitle="Categoria do rendimento" prompt="Selecione a categoria correspondente ao rendimento" sqref="C9">
      <formula1>ListaCategorias</formula1>
    </dataValidation>
    <dataValidation type="decimal" operator="greaterThanOrEqual" allowBlank="1" showInputMessage="1" showErrorMessage="1" errorTitle="Valor inválido" error="Informe um valor igual ou maior que zero" promptTitle="Valor do rendimento" prompt="Informe o valor do rendimento" sqref="D9">
      <formula1>0</formula1>
    </dataValidation>
    <dataValidation type="list" allowBlank="1" showInputMessage="1" showErrorMessage="1" sqref="C11:C29">
      <formula1>ListaCategorias</formula1>
    </dataValidation>
    <dataValidation type="list" allowBlank="1" showInputMessage="1" showErrorMessage="1" promptTitle="Categoria do Rendimento" prompt="Selecione a categoria do rendimento" sqref="C10">
      <formula1>ListaCategorias</formula1>
    </dataValidation>
    <dataValidation type="date" allowBlank="1" showInputMessage="1" showErrorMessage="1" promptTitle="Data do rendimento" prompt="Informe a data que o rendimento foi recebido" sqref="B11:B29">
      <formula1>36526</formula1>
      <formula2>73415</formula2>
    </dataValidation>
    <dataValidation type="date" allowBlank="1" showInputMessage="1" showErrorMessage="1" promptTitle="Data do rendimento" prompt="Informe a data em que o rendimento foi recebido" sqref="B10">
      <formula1>36526</formula1>
      <formula2>73415</formula2>
    </dataValidation>
    <dataValidation type="decimal" operator="greaterThanOrEqual" allowBlank="1" showInputMessage="1" showErrorMessage="1" errorTitle="Valor inválido" error="Informe um valor igual ou maior que zero" promptTitle="Deduções" prompt="Informe o valor total das deduções" sqref="D34">
      <formula1>0</formula1>
    </dataValidation>
    <dataValidation type="decimal" operator="greaterThanOrEqual" allowBlank="1" showInputMessage="1" showErrorMessage="1" promptTitle="IR retido" prompt="Informe o valor de imposto de renda já retido na fonte" sqref="D40">
      <formula1>0</formula1>
    </dataValidation>
  </dataValidations>
  <pageMargins left="0.511811024" right="0.511811024" top="0.78740157499999996" bottom="0.78740157499999996" header="0.31496062000000002" footer="0.31496062000000002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1"/>
  <sheetViews>
    <sheetView workbookViewId="0">
      <selection activeCell="A12" sqref="A12:A61"/>
    </sheetView>
  </sheetViews>
  <sheetFormatPr defaultRowHeight="15"/>
  <cols>
    <col min="1" max="1" width="37" style="2" customWidth="1"/>
    <col min="2" max="2" width="21.28515625" style="2" customWidth="1"/>
    <col min="3" max="3" width="20.42578125" style="2" customWidth="1"/>
    <col min="4" max="5" width="19" style="2" customWidth="1"/>
    <col min="6" max="6" width="20" style="2" customWidth="1"/>
  </cols>
  <sheetData>
    <row r="1" spans="1:2">
      <c r="A1" t="s">
        <v>31</v>
      </c>
      <c r="B1" t="s">
        <v>39</v>
      </c>
    </row>
    <row r="2" spans="1:2">
      <c r="A2" s="1" t="s">
        <v>33</v>
      </c>
      <c r="B2" s="1" t="s">
        <v>40</v>
      </c>
    </row>
    <row r="3" spans="1:2">
      <c r="A3" s="1" t="s">
        <v>34</v>
      </c>
      <c r="B3" s="1" t="s">
        <v>40</v>
      </c>
    </row>
    <row r="4" spans="1:2">
      <c r="A4" s="1" t="s">
        <v>41</v>
      </c>
      <c r="B4" s="1" t="s">
        <v>40</v>
      </c>
    </row>
    <row r="5" spans="1:2">
      <c r="A5" s="1" t="s">
        <v>42</v>
      </c>
      <c r="B5" s="1" t="s">
        <v>40</v>
      </c>
    </row>
    <row r="6" spans="1:2">
      <c r="A6" s="1" t="s">
        <v>43</v>
      </c>
      <c r="B6" s="1" t="s">
        <v>40</v>
      </c>
    </row>
    <row r="7" spans="1:2">
      <c r="A7" s="1" t="s">
        <v>44</v>
      </c>
      <c r="B7" s="1" t="s">
        <v>45</v>
      </c>
    </row>
    <row r="8" spans="1:2">
      <c r="A8" s="1" t="s">
        <v>35</v>
      </c>
      <c r="B8" s="1" t="s">
        <v>46</v>
      </c>
    </row>
    <row r="9" spans="1:2">
      <c r="A9" s="1" t="s">
        <v>47</v>
      </c>
      <c r="B9" s="1" t="s">
        <v>48</v>
      </c>
    </row>
    <row r="10" spans="1:2">
      <c r="A10" s="1"/>
    </row>
    <row r="11" spans="1:2">
      <c r="A11" s="1" t="s">
        <v>49</v>
      </c>
    </row>
    <row r="12" spans="1:2">
      <c r="A12" t="s">
        <v>50</v>
      </c>
    </row>
    <row r="13" spans="1:2">
      <c r="A13" t="s">
        <v>51</v>
      </c>
    </row>
    <row r="14" spans="1:2">
      <c r="A14" t="s">
        <v>52</v>
      </c>
    </row>
    <row r="15" spans="1:2">
      <c r="A15" t="s">
        <v>53</v>
      </c>
    </row>
    <row r="16" spans="1:2">
      <c r="A16" t="s">
        <v>54</v>
      </c>
    </row>
    <row r="17" spans="1:1">
      <c r="A17" t="s">
        <v>55</v>
      </c>
    </row>
    <row r="18" spans="1:1">
      <c r="A18" t="s">
        <v>56</v>
      </c>
    </row>
    <row r="19" spans="1:1">
      <c r="A19" t="s">
        <v>57</v>
      </c>
    </row>
    <row r="20" spans="1:1">
      <c r="A20" t="s">
        <v>58</v>
      </c>
    </row>
    <row r="21" spans="1:1">
      <c r="A21" t="s">
        <v>59</v>
      </c>
    </row>
    <row r="22" spans="1:1">
      <c r="A22" t="s">
        <v>60</v>
      </c>
    </row>
    <row r="23" spans="1:1">
      <c r="A23" t="s">
        <v>61</v>
      </c>
    </row>
    <row r="24" spans="1:1">
      <c r="A24" t="s">
        <v>62</v>
      </c>
    </row>
    <row r="25" spans="1:1">
      <c r="A25" t="s">
        <v>63</v>
      </c>
    </row>
    <row r="26" spans="1:1">
      <c r="A26" t="s">
        <v>64</v>
      </c>
    </row>
    <row r="27" spans="1:1">
      <c r="A27" t="s">
        <v>65</v>
      </c>
    </row>
    <row r="28" spans="1:1">
      <c r="A28" t="s">
        <v>66</v>
      </c>
    </row>
    <row r="29" spans="1:1">
      <c r="A29" t="s">
        <v>67</v>
      </c>
    </row>
    <row r="30" spans="1:1">
      <c r="A30" t="s">
        <v>68</v>
      </c>
    </row>
    <row r="31" spans="1:1">
      <c r="A31" t="s">
        <v>69</v>
      </c>
    </row>
    <row r="32" spans="1:1">
      <c r="A32" t="s">
        <v>70</v>
      </c>
    </row>
    <row r="33" spans="1:1">
      <c r="A33" t="s">
        <v>71</v>
      </c>
    </row>
    <row r="34" spans="1:1">
      <c r="A34" t="s">
        <v>72</v>
      </c>
    </row>
    <row r="35" spans="1:1">
      <c r="A35" t="s">
        <v>73</v>
      </c>
    </row>
    <row r="36" spans="1:1">
      <c r="A36" t="s">
        <v>74</v>
      </c>
    </row>
    <row r="37" spans="1:1">
      <c r="A37" t="s">
        <v>75</v>
      </c>
    </row>
    <row r="38" spans="1:1">
      <c r="A38" t="s">
        <v>76</v>
      </c>
    </row>
    <row r="39" spans="1:1">
      <c r="A39" t="s">
        <v>77</v>
      </c>
    </row>
    <row r="40" spans="1:1">
      <c r="A40" t="s">
        <v>78</v>
      </c>
    </row>
    <row r="41" spans="1:1">
      <c r="A41" t="s">
        <v>79</v>
      </c>
    </row>
    <row r="42" spans="1:1">
      <c r="A42" t="s">
        <v>80</v>
      </c>
    </row>
    <row r="43" spans="1:1">
      <c r="A43" t="s">
        <v>81</v>
      </c>
    </row>
    <row r="44" spans="1:1">
      <c r="A44" t="s">
        <v>82</v>
      </c>
    </row>
    <row r="45" spans="1:1">
      <c r="A45" t="s">
        <v>83</v>
      </c>
    </row>
    <row r="46" spans="1:1">
      <c r="A46" t="s">
        <v>84</v>
      </c>
    </row>
    <row r="47" spans="1:1">
      <c r="A47" t="s">
        <v>85</v>
      </c>
    </row>
    <row r="48" spans="1:1">
      <c r="A48" t="s">
        <v>86</v>
      </c>
    </row>
    <row r="49" spans="1:1">
      <c r="A49" t="s">
        <v>87</v>
      </c>
    </row>
    <row r="50" spans="1:1">
      <c r="A50" t="s">
        <v>88</v>
      </c>
    </row>
    <row r="51" spans="1:1">
      <c r="A51" t="s">
        <v>89</v>
      </c>
    </row>
    <row r="52" spans="1:1">
      <c r="A52" t="s">
        <v>90</v>
      </c>
    </row>
    <row r="53" spans="1:1">
      <c r="A53" t="s">
        <v>91</v>
      </c>
    </row>
    <row r="54" spans="1:1">
      <c r="A54" t="s">
        <v>92</v>
      </c>
    </row>
    <row r="55" spans="1:1">
      <c r="A55" t="s">
        <v>93</v>
      </c>
    </row>
    <row r="56" spans="1:1">
      <c r="A56" t="s">
        <v>94</v>
      </c>
    </row>
    <row r="57" spans="1:1">
      <c r="A57" t="s">
        <v>95</v>
      </c>
    </row>
    <row r="58" spans="1:1">
      <c r="A58" t="s">
        <v>96</v>
      </c>
    </row>
    <row r="59" spans="1:1">
      <c r="A59" t="s">
        <v>97</v>
      </c>
    </row>
    <row r="60" spans="1:1">
      <c r="A60" t="s">
        <v>98</v>
      </c>
    </row>
    <row r="61" spans="1:1">
      <c r="A61" t="s">
        <v>99</v>
      </c>
    </row>
  </sheetData>
  <pageMargins left="0.511811024" right="0.511811024" top="0.78740157499999996" bottom="0.78740157499999996" header="0.31496062000000002" footer="0.31496062000000002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2</vt:i4>
      </vt:variant>
    </vt:vector>
  </HeadingPairs>
  <TitlesOfParts>
    <vt:vector size="6" baseType="lpstr">
      <vt:lpstr>TITULAR</vt:lpstr>
      <vt:lpstr>INFORMES</vt:lpstr>
      <vt:lpstr>NOTAS</vt:lpstr>
      <vt:lpstr>AUXILIAR</vt:lpstr>
      <vt:lpstr>Bancos</vt:lpstr>
      <vt:lpstr>ListaCategorias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</dc:creator>
  <cp:lastModifiedBy>micro</cp:lastModifiedBy>
  <dcterms:created xsi:type="dcterms:W3CDTF">2026-08-30T00:43:18Z</dcterms:created>
  <dcterms:modified xsi:type="dcterms:W3CDTF">2026-09-18T19:23:44Z</dcterms:modified>
</cp:coreProperties>
</file>